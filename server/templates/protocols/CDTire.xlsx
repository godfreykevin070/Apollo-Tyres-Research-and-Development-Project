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DTire"/>
    <sheet r:id="rId2" sheetId="2" name="Sheet1"/>
  </sheets>
  <definedNames>
    <definedName name="_xlnm._FilterDatabase" localSheetId="0">CDTire!$A$2:$Q$23</definedName>
    <definedName name="_xlnm._FilterDatabase" localSheetId="1">Sheet1!$A$1:$A$1</definedName>
  </definedNames>
  <calcPr fullCalcOnLoad="1"/>
</workbook>
</file>

<file path=xl/sharedStrings.xml><?xml version="1.0" encoding="utf-8"?>
<sst xmlns="http://schemas.openxmlformats.org/spreadsheetml/2006/main" count="244" uniqueCount="76">
  <si>
    <t>2_rev_P1_L5_0</t>
  </si>
  <si>
    <t>2_rev_P2_L1_0</t>
  </si>
  <si>
    <t>2_rev_P2_L1_nc2</t>
  </si>
  <si>
    <t>2_rev_P2_L1_pc1</t>
  </si>
  <si>
    <t>2_rev_P2_L2_0</t>
  </si>
  <si>
    <t>2_rev_P2_L2_nc2</t>
  </si>
  <si>
    <t>2_rev_P2_L2_pc1</t>
  </si>
  <si>
    <t>2_rev_P2_L3_0</t>
  </si>
  <si>
    <t>2_rev_P2_L3_3</t>
  </si>
  <si>
    <t>2_rev_P2_L3_nc2</t>
  </si>
  <si>
    <t>2_rev_P2_L4_0</t>
  </si>
  <si>
    <t>2_rev_P2_L5_0</t>
  </si>
  <si>
    <t>2_rev_P2_L5_nc2</t>
  </si>
  <si>
    <t>2_rev_P2_L5_pc2</t>
  </si>
  <si>
    <t>2_rev_P3_L5_0</t>
  </si>
  <si>
    <t>CDTire Test Procedure</t>
  </si>
  <si>
    <t>No of Tests</t>
  </si>
  <si>
    <t>Test Name</t>
  </si>
  <si>
    <t>Inflation Pressure [bar]</t>
  </si>
  <si>
    <t>Speed [km/h]</t>
  </si>
  <si>
    <t>load [N]</t>
  </si>
  <si>
    <t>Camber [Deg]</t>
  </si>
  <si>
    <t>Slip Angle [deg]</t>
  </si>
  <si>
    <t>Slip range [%]</t>
  </si>
  <si>
    <t>Cleat</t>
  </si>
  <si>
    <t>Road Surface</t>
  </si>
  <si>
    <t>Job</t>
  </si>
  <si>
    <t>Old Job</t>
  </si>
  <si>
    <t>folrtran</t>
  </si>
  <si>
    <t>python script</t>
  </si>
  <si>
    <t>Template Tydex</t>
  </si>
  <si>
    <t>Tydex name</t>
  </si>
  <si>
    <t>Foot Print Data</t>
  </si>
  <si>
    <t>P2</t>
  </si>
  <si>
    <t>L1</t>
  </si>
  <si>
    <t>-</t>
  </si>
  <si>
    <t>Flat</t>
  </si>
  <si>
    <t xml:space="preserve">abaqus </t>
  </si>
  <si>
    <t>1_axi_p2</t>
  </si>
  <si>
    <t xml:space="preserve">deflection.py </t>
  </si>
  <si>
    <t>2_rev_</t>
  </si>
  <si>
    <t>_</t>
  </si>
  <si>
    <t>nc2</t>
  </si>
  <si>
    <t>Braking</t>
  </si>
  <si>
    <t>-SR</t>
  </si>
  <si>
    <t>9_long_brk_p2_l1_0_60</t>
  </si>
  <si>
    <t>8_freeroll_p2_l1_0_60</t>
  </si>
  <si>
    <t>Traction</t>
  </si>
  <si>
    <t>9_long_trac_p2_l1_0_60</t>
  </si>
  <si>
    <t>Cornering</t>
  </si>
  <si>
    <t>+/-15</t>
  </si>
  <si>
    <t>10_lat_p2_l1_0_60</t>
  </si>
  <si>
    <t>pc1</t>
  </si>
  <si>
    <t>10_lat_p2_l1_pc2_60</t>
  </si>
  <si>
    <t>Cornering (High Speed)</t>
  </si>
  <si>
    <t>10_lat_p2_l1_0_160</t>
  </si>
  <si>
    <t>8_freeroll_p2_l1_0_160</t>
  </si>
  <si>
    <t>2D Cleat Transverse Cleat</t>
  </si>
  <si>
    <t>12_xpl_p2_l1_0_30</t>
  </si>
  <si>
    <t>8_freeroll_p2_l1_0_30_xpl</t>
  </si>
  <si>
    <t>12_xpl_p2_l1_0_60</t>
  </si>
  <si>
    <t>8_freeroll_p2_l1_0_90_xpl</t>
  </si>
  <si>
    <t>12_xpl_p2_l1_0_90</t>
  </si>
  <si>
    <t>8_freeroll_p2_l1_0_60_xpl</t>
  </si>
  <si>
    <t>1_axi_p1</t>
  </si>
  <si>
    <t xml:space="preserve">od_growth.py </t>
  </si>
  <si>
    <t>1_axi_p3</t>
  </si>
  <si>
    <t>abq2024hf5f</t>
  </si>
  <si>
    <t>2_rev_p2_l1_0</t>
  </si>
  <si>
    <t>8_freeroll_p2_l1_0_60.f</t>
  </si>
  <si>
    <t>2_rev_p2_l1_0_xpl</t>
  </si>
  <si>
    <t>8_freeroll_p2_l1_0_30_xpl.f</t>
  </si>
  <si>
    <t>extract_element_sets</t>
  </si>
  <si>
    <t>8_freeroll_p2_l1_0_60_xpl.f</t>
  </si>
  <si>
    <t>8_freeroll_p2_l1_0_90_xpl.f</t>
  </si>
  <si>
    <t>1_axi_p2_xpl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</si>
</sst>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5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2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0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1" width="10.147857142857141" customWidth="1" bestFit="1"/>
    <col min="2" max="2" style="2" width="38.57642857142857" customWidth="1" bestFit="1"/>
    <col min="3" max="3" style="22" width="21.576428571428572" customWidth="1" bestFit="1"/>
    <col min="4" max="4" style="21" width="14.290714285714287" customWidth="1" bestFit="1"/>
    <col min="5" max="5" style="2" width="19.290714285714284" customWidth="1" bestFit="1"/>
    <col min="6" max="6" style="21" width="11.719285714285713" customWidth="1" bestFit="1"/>
    <col min="7" max="7" style="21" width="13.719285714285713" customWidth="1" bestFit="1"/>
    <col min="8" max="8" style="2" width="11.719285714285713" customWidth="1" bestFit="1"/>
    <col min="9" max="9" style="21" width="11.576428571428572" customWidth="1" bestFit="1"/>
    <col min="10" max="10" style="22" width="23.719285714285714" customWidth="1" bestFit="1"/>
    <col min="11" max="11" style="22" width="23.719285714285714" customWidth="1" bestFit="1"/>
    <col min="12" max="12" style="23" width="35.29071428571429" customWidth="1" bestFit="1"/>
    <col min="13" max="13" style="23" width="26.290714285714284" customWidth="1" bestFit="1"/>
    <col min="14" max="14" style="23" width="28.576428571428572" customWidth="1" bestFit="1"/>
    <col min="15" max="15" style="23" width="26.290714285714284" customWidth="1" bestFit="1"/>
    <col min="16" max="16" style="2" width="70.005" customWidth="1" bestFit="1"/>
    <col min="17" max="17" style="2" width="14.719285714285713" customWidth="1" bestFit="1"/>
    <col min="18" max="18" style="2" width="13.576428571428572" customWidth="1" bestFit="1"/>
    <col min="19" max="19" style="2" width="13.576428571428572" customWidth="1" bestFit="1"/>
    <col min="20" max="20" style="2" width="13.576428571428572" customWidth="1" bestFit="1"/>
    <col min="21" max="21" style="2" width="15.005" customWidth="1" bestFit="1"/>
  </cols>
  <sheetData>
    <row x14ac:dyDescent="0.25" r="1" customHeight="1" ht="18.75">
      <c r="A1" s="3" t="s">
        <v>15</v>
      </c>
      <c r="B1" s="4"/>
      <c r="C1" s="5"/>
      <c r="D1" s="3"/>
      <c r="E1" s="4"/>
      <c r="F1" s="3"/>
      <c r="G1" s="3"/>
      <c r="H1" s="4"/>
      <c r="I1" s="3"/>
      <c r="J1" s="5"/>
      <c r="K1" s="6"/>
      <c r="L1" s="7"/>
      <c r="M1" s="7"/>
      <c r="N1" s="7"/>
      <c r="O1" s="7"/>
      <c r="P1" s="1"/>
      <c r="Q1" s="1"/>
      <c r="R1" s="1"/>
      <c r="S1" s="1"/>
      <c r="T1" s="1"/>
      <c r="U1" s="1"/>
    </row>
    <row x14ac:dyDescent="0.25" r="2" customHeight="1" ht="18.75">
      <c r="A2" s="8" t="s">
        <v>16</v>
      </c>
      <c r="B2" s="9" t="s">
        <v>17</v>
      </c>
      <c r="C2" s="10" t="s">
        <v>18</v>
      </c>
      <c r="D2" s="11" t="s">
        <v>19</v>
      </c>
      <c r="E2" s="9" t="s">
        <v>20</v>
      </c>
      <c r="F2" s="11" t="s">
        <v>21</v>
      </c>
      <c r="G2" s="12" t="s">
        <v>22</v>
      </c>
      <c r="H2" s="10" t="s">
        <v>23</v>
      </c>
      <c r="I2" s="11" t="s">
        <v>24</v>
      </c>
      <c r="J2" s="10" t="s">
        <v>25</v>
      </c>
      <c r="K2" s="10"/>
      <c r="L2" s="9" t="s">
        <v>26</v>
      </c>
      <c r="M2" s="9" t="s">
        <v>27</v>
      </c>
      <c r="N2" s="9" t="s">
        <v>28</v>
      </c>
      <c r="O2" s="9" t="s">
        <v>29</v>
      </c>
      <c r="P2" s="13" t="s">
        <v>30</v>
      </c>
      <c r="Q2" s="13" t="s">
        <v>31</v>
      </c>
      <c r="R2" s="1"/>
      <c r="S2" s="1"/>
      <c r="T2" s="1"/>
      <c r="U2" s="1"/>
    </row>
    <row x14ac:dyDescent="0.25" r="3" customHeight="1" ht="19.5">
      <c r="A3" s="8">
        <v>1</v>
      </c>
      <c r="B3" s="14" t="s">
        <v>32</v>
      </c>
      <c r="C3" s="14" t="s">
        <v>33</v>
      </c>
      <c r="D3" s="15">
        <v>0</v>
      </c>
      <c r="E3" s="14" t="s">
        <v>34</v>
      </c>
      <c r="F3" s="15">
        <v>0</v>
      </c>
      <c r="G3" s="15">
        <v>0</v>
      </c>
      <c r="H3" s="14" t="s">
        <v>35</v>
      </c>
      <c r="I3" s="15" t="s">
        <v>35</v>
      </c>
      <c r="J3" s="14" t="s">
        <v>36</v>
      </c>
      <c r="K3" s="14" t="s">
        <v>37</v>
      </c>
      <c r="L3" s="16" t="s">
        <v>1</v>
      </c>
      <c r="M3" s="16" t="s">
        <v>38</v>
      </c>
      <c r="N3" s="16" t="s">
        <v>35</v>
      </c>
      <c r="O3" s="16" t="s">
        <v>39</v>
      </c>
      <c r="P3" s="16"/>
      <c r="Q3" s="16"/>
      <c r="R3" s="1"/>
      <c r="S3" s="1" t="s">
        <v>40</v>
      </c>
      <c r="T3" s="1" t="s">
        <v>41</v>
      </c>
      <c r="U3" s="17">
        <f>CONCATENATE(S3,C3,T3,E3,T3,F3)</f>
      </c>
    </row>
    <row x14ac:dyDescent="0.25" r="4" customHeight="1" ht="19.5">
      <c r="A4" s="8">
        <v>2</v>
      </c>
      <c r="B4" s="14" t="s">
        <v>32</v>
      </c>
      <c r="C4" s="14" t="s">
        <v>33</v>
      </c>
      <c r="D4" s="15">
        <v>0</v>
      </c>
      <c r="E4" s="14" t="s">
        <v>34</v>
      </c>
      <c r="F4" s="15" t="s">
        <v>42</v>
      </c>
      <c r="G4" s="15">
        <v>0</v>
      </c>
      <c r="H4" s="14" t="s">
        <v>35</v>
      </c>
      <c r="I4" s="15" t="s">
        <v>35</v>
      </c>
      <c r="J4" s="14" t="s">
        <v>36</v>
      </c>
      <c r="K4" s="14" t="s">
        <v>37</v>
      </c>
      <c r="L4" s="16" t="s">
        <v>2</v>
      </c>
      <c r="M4" s="16" t="s">
        <v>38</v>
      </c>
      <c r="N4" s="16" t="s">
        <v>35</v>
      </c>
      <c r="O4" s="16" t="s">
        <v>39</v>
      </c>
      <c r="P4" s="16"/>
      <c r="Q4" s="16"/>
      <c r="R4" s="1"/>
      <c r="S4" s="1" t="s">
        <v>40</v>
      </c>
      <c r="T4" s="1" t="s">
        <v>41</v>
      </c>
      <c r="U4" s="17">
        <f>CONCATENATE(S4,C4,T4,E4,T4,F4)</f>
      </c>
    </row>
    <row x14ac:dyDescent="0.25" r="5" customHeight="1" ht="19.5">
      <c r="A5" s="8">
        <v>3</v>
      </c>
      <c r="B5" s="16" t="s">
        <v>43</v>
      </c>
      <c r="C5" s="14" t="s">
        <v>33</v>
      </c>
      <c r="D5" s="8">
        <v>60</v>
      </c>
      <c r="E5" s="16" t="s">
        <v>34</v>
      </c>
      <c r="F5" s="8">
        <v>0</v>
      </c>
      <c r="G5" s="8" t="s">
        <v>35</v>
      </c>
      <c r="H5" s="16" t="s">
        <v>44</v>
      </c>
      <c r="I5" s="15" t="s">
        <v>35</v>
      </c>
      <c r="J5" s="14" t="s">
        <v>36</v>
      </c>
      <c r="K5" s="14" t="s">
        <v>37</v>
      </c>
      <c r="L5" s="16" t="s">
        <v>45</v>
      </c>
      <c r="M5" s="16" t="s">
        <v>46</v>
      </c>
      <c r="N5" s="16" t="s">
        <v>35</v>
      </c>
      <c r="O5" s="16" t="s">
        <v>35</v>
      </c>
      <c r="P5" s="16"/>
      <c r="Q5" s="16"/>
      <c r="R5" s="1"/>
      <c r="S5" s="1" t="s">
        <v>40</v>
      </c>
      <c r="T5" s="1" t="s">
        <v>41</v>
      </c>
      <c r="U5" s="17">
        <f>CONCATENATE(S5,C5,T5,E5,T5,F5)</f>
      </c>
    </row>
    <row x14ac:dyDescent="0.25" r="6" customHeight="1" ht="19.5">
      <c r="A6" s="8">
        <v>4</v>
      </c>
      <c r="B6" s="16" t="s">
        <v>47</v>
      </c>
      <c r="C6" s="14" t="s">
        <v>33</v>
      </c>
      <c r="D6" s="8">
        <v>60</v>
      </c>
      <c r="E6" s="16" t="s">
        <v>34</v>
      </c>
      <c r="F6" s="8">
        <v>0</v>
      </c>
      <c r="G6" s="8" t="s">
        <v>35</v>
      </c>
      <c r="H6" s="16" t="s">
        <v>44</v>
      </c>
      <c r="I6" s="15" t="s">
        <v>35</v>
      </c>
      <c r="J6" s="14" t="s">
        <v>36</v>
      </c>
      <c r="K6" s="14" t="s">
        <v>37</v>
      </c>
      <c r="L6" s="16" t="s">
        <v>48</v>
      </c>
      <c r="M6" s="16" t="s">
        <v>46</v>
      </c>
      <c r="N6" s="16" t="s">
        <v>35</v>
      </c>
      <c r="O6" s="16" t="s">
        <v>35</v>
      </c>
      <c r="P6" s="16"/>
      <c r="Q6" s="16"/>
      <c r="R6" s="1"/>
      <c r="S6" s="1" t="s">
        <v>40</v>
      </c>
      <c r="T6" s="1" t="s">
        <v>41</v>
      </c>
      <c r="U6" s="17">
        <f>CONCATENATE(S6,C6,T6,E6,T6,F6)</f>
      </c>
    </row>
    <row x14ac:dyDescent="0.25" r="7" customHeight="1" ht="19.5">
      <c r="A7" s="8">
        <v>5</v>
      </c>
      <c r="B7" s="16" t="s">
        <v>49</v>
      </c>
      <c r="C7" s="14" t="s">
        <v>33</v>
      </c>
      <c r="D7" s="8">
        <v>60</v>
      </c>
      <c r="E7" s="16" t="s">
        <v>34</v>
      </c>
      <c r="F7" s="8">
        <v>0</v>
      </c>
      <c r="G7" s="8" t="s">
        <v>50</v>
      </c>
      <c r="H7" s="16" t="s">
        <v>35</v>
      </c>
      <c r="I7" s="15" t="s">
        <v>35</v>
      </c>
      <c r="J7" s="14" t="s">
        <v>36</v>
      </c>
      <c r="K7" s="14" t="s">
        <v>37</v>
      </c>
      <c r="L7" s="16" t="s">
        <v>51</v>
      </c>
      <c r="M7" s="16" t="s">
        <v>46</v>
      </c>
      <c r="N7" s="16" t="s">
        <v>35</v>
      </c>
      <c r="O7" s="16" t="s">
        <v>35</v>
      </c>
      <c r="P7" s="16"/>
      <c r="Q7" s="16"/>
      <c r="R7" s="1"/>
      <c r="S7" s="1" t="s">
        <v>40</v>
      </c>
      <c r="T7" s="1" t="s">
        <v>41</v>
      </c>
      <c r="U7" s="17">
        <f>CONCATENATE(S7,C7,T7,E7,T7,F7)</f>
      </c>
    </row>
    <row x14ac:dyDescent="0.25" r="8" customHeight="1" ht="19.5">
      <c r="A8" s="8">
        <v>6</v>
      </c>
      <c r="B8" s="16" t="s">
        <v>49</v>
      </c>
      <c r="C8" s="14" t="s">
        <v>33</v>
      </c>
      <c r="D8" s="8">
        <v>60</v>
      </c>
      <c r="E8" s="16" t="s">
        <v>34</v>
      </c>
      <c r="F8" s="8" t="s">
        <v>52</v>
      </c>
      <c r="G8" s="8" t="s">
        <v>50</v>
      </c>
      <c r="H8" s="16" t="s">
        <v>35</v>
      </c>
      <c r="I8" s="15" t="s">
        <v>35</v>
      </c>
      <c r="J8" s="14" t="s">
        <v>36</v>
      </c>
      <c r="K8" s="14" t="s">
        <v>37</v>
      </c>
      <c r="L8" s="16" t="s">
        <v>53</v>
      </c>
      <c r="M8" s="16" t="s">
        <v>46</v>
      </c>
      <c r="N8" s="16" t="s">
        <v>35</v>
      </c>
      <c r="O8" s="16" t="s">
        <v>35</v>
      </c>
      <c r="P8" s="16"/>
      <c r="Q8" s="16"/>
      <c r="R8" s="1"/>
      <c r="S8" s="1" t="s">
        <v>40</v>
      </c>
      <c r="T8" s="1" t="s">
        <v>41</v>
      </c>
      <c r="U8" s="17">
        <f>CONCATENATE(S8,C8,T8,E8,T8,F8)</f>
      </c>
    </row>
    <row x14ac:dyDescent="0.25" r="9" customHeight="1" ht="19.5">
      <c r="A9" s="8">
        <v>7</v>
      </c>
      <c r="B9" s="14" t="s">
        <v>54</v>
      </c>
      <c r="C9" s="14" t="s">
        <v>33</v>
      </c>
      <c r="D9" s="8">
        <v>160</v>
      </c>
      <c r="E9" s="16" t="s">
        <v>34</v>
      </c>
      <c r="F9" s="8">
        <v>0</v>
      </c>
      <c r="G9" s="8" t="s">
        <v>50</v>
      </c>
      <c r="H9" s="16" t="s">
        <v>35</v>
      </c>
      <c r="I9" s="15" t="s">
        <v>35</v>
      </c>
      <c r="J9" s="14" t="s">
        <v>36</v>
      </c>
      <c r="K9" s="14" t="s">
        <v>37</v>
      </c>
      <c r="L9" s="16" t="s">
        <v>55</v>
      </c>
      <c r="M9" s="16" t="s">
        <v>56</v>
      </c>
      <c r="N9" s="16" t="s">
        <v>35</v>
      </c>
      <c r="O9" s="16" t="s">
        <v>35</v>
      </c>
      <c r="P9" s="16"/>
      <c r="Q9" s="16"/>
      <c r="R9" s="1"/>
      <c r="S9" s="1" t="s">
        <v>40</v>
      </c>
      <c r="T9" s="1" t="s">
        <v>41</v>
      </c>
      <c r="U9" s="17">
        <f>CONCATENATE(S9,C9,T9,E9,T9,F9)</f>
      </c>
    </row>
    <row x14ac:dyDescent="0.25" r="10" customHeight="1" ht="19.5">
      <c r="A10" s="8">
        <v>8</v>
      </c>
      <c r="B10" s="14" t="s">
        <v>57</v>
      </c>
      <c r="C10" s="14" t="s">
        <v>33</v>
      </c>
      <c r="D10" s="8">
        <v>30</v>
      </c>
      <c r="E10" s="16" t="s">
        <v>34</v>
      </c>
      <c r="F10" s="8">
        <v>0</v>
      </c>
      <c r="G10" s="15" t="s">
        <v>35</v>
      </c>
      <c r="H10" s="16" t="s">
        <v>35</v>
      </c>
      <c r="I10" s="8">
        <v>90</v>
      </c>
      <c r="J10" s="14" t="s">
        <v>35</v>
      </c>
      <c r="K10" s="14" t="s">
        <v>37</v>
      </c>
      <c r="L10" s="16" t="s">
        <v>58</v>
      </c>
      <c r="M10" s="16" t="s">
        <v>59</v>
      </c>
      <c r="N10" s="16" t="s">
        <v>35</v>
      </c>
      <c r="O10" s="16" t="s">
        <v>35</v>
      </c>
      <c r="P10" s="16"/>
      <c r="Q10" s="16"/>
      <c r="R10" s="1"/>
      <c r="S10" s="1" t="s">
        <v>40</v>
      </c>
      <c r="T10" s="1" t="s">
        <v>41</v>
      </c>
      <c r="U10" s="17">
        <f>CONCATENATE(S10,C10,T10,E10,T10,F10)</f>
      </c>
    </row>
    <row x14ac:dyDescent="0.25" r="11" customHeight="1" ht="19.5">
      <c r="A11" s="8">
        <v>9</v>
      </c>
      <c r="B11" s="14" t="s">
        <v>57</v>
      </c>
      <c r="C11" s="14" t="s">
        <v>33</v>
      </c>
      <c r="D11" s="8">
        <v>60</v>
      </c>
      <c r="E11" s="16" t="s">
        <v>34</v>
      </c>
      <c r="F11" s="8">
        <v>0</v>
      </c>
      <c r="G11" s="15" t="s">
        <v>35</v>
      </c>
      <c r="H11" s="16" t="s">
        <v>35</v>
      </c>
      <c r="I11" s="8">
        <v>90</v>
      </c>
      <c r="J11" s="14" t="s">
        <v>35</v>
      </c>
      <c r="K11" s="14" t="s">
        <v>37</v>
      </c>
      <c r="L11" s="16" t="s">
        <v>60</v>
      </c>
      <c r="M11" s="16" t="s">
        <v>61</v>
      </c>
      <c r="N11" s="16" t="s">
        <v>35</v>
      </c>
      <c r="O11" s="16" t="s">
        <v>35</v>
      </c>
      <c r="P11" s="16"/>
      <c r="Q11" s="16"/>
      <c r="R11" s="1"/>
      <c r="S11" s="1" t="s">
        <v>40</v>
      </c>
      <c r="T11" s="1" t="s">
        <v>41</v>
      </c>
      <c r="U11" s="17">
        <f>CONCATENATE(S11,C11,T11,E11,T11,F11)</f>
      </c>
    </row>
    <row x14ac:dyDescent="0.25" r="12" customHeight="1" ht="19.5">
      <c r="A12" s="8">
        <v>10</v>
      </c>
      <c r="B12" s="14" t="s">
        <v>57</v>
      </c>
      <c r="C12" s="14" t="s">
        <v>33</v>
      </c>
      <c r="D12" s="8">
        <v>90</v>
      </c>
      <c r="E12" s="16" t="s">
        <v>34</v>
      </c>
      <c r="F12" s="8">
        <v>0</v>
      </c>
      <c r="G12" s="15" t="s">
        <v>35</v>
      </c>
      <c r="H12" s="16" t="s">
        <v>35</v>
      </c>
      <c r="I12" s="8">
        <v>90</v>
      </c>
      <c r="J12" s="14" t="s">
        <v>35</v>
      </c>
      <c r="K12" s="14" t="s">
        <v>37</v>
      </c>
      <c r="L12" s="16" t="s">
        <v>62</v>
      </c>
      <c r="M12" s="16" t="s">
        <v>63</v>
      </c>
      <c r="N12" s="16" t="s">
        <v>35</v>
      </c>
      <c r="O12" s="16" t="s">
        <v>35</v>
      </c>
      <c r="P12" s="16"/>
      <c r="Q12" s="16"/>
      <c r="R12" s="1"/>
      <c r="S12" s="1" t="s">
        <v>40</v>
      </c>
      <c r="T12" s="1" t="s">
        <v>41</v>
      </c>
      <c r="U12" s="17">
        <f>CONCATENATE(S12,C12,T12,E12,T12,F12)</f>
      </c>
    </row>
    <row x14ac:dyDescent="0.25" r="13" customHeight="1" ht="19.5">
      <c r="A13" s="18">
        <v>11</v>
      </c>
      <c r="B13" s="1"/>
      <c r="C13" s="19"/>
      <c r="D13" s="18"/>
      <c r="E13" s="1"/>
      <c r="F13" s="18"/>
      <c r="G13" s="18"/>
      <c r="H13" s="1"/>
      <c r="I13" s="18"/>
      <c r="J13" s="19"/>
      <c r="K13" s="14" t="s">
        <v>37</v>
      </c>
      <c r="L13" s="20" t="s">
        <v>64</v>
      </c>
      <c r="M13" s="20" t="s">
        <v>35</v>
      </c>
      <c r="N13" s="20" t="s">
        <v>35</v>
      </c>
      <c r="O13" s="20" t="s">
        <v>65</v>
      </c>
      <c r="P13" s="17">
        <f>CONCATENATE("call abaqus python ",O13," ",L13)</f>
      </c>
      <c r="Q13" s="1"/>
      <c r="R13" s="1"/>
      <c r="S13" s="1"/>
      <c r="T13" s="1"/>
      <c r="U13" s="1"/>
    </row>
    <row x14ac:dyDescent="0.25" r="14" customHeight="1" ht="19.5">
      <c r="A14" s="18">
        <v>12</v>
      </c>
      <c r="B14" s="1"/>
      <c r="C14" s="19"/>
      <c r="D14" s="18"/>
      <c r="E14" s="1"/>
      <c r="F14" s="18"/>
      <c r="G14" s="18"/>
      <c r="H14" s="1"/>
      <c r="I14" s="18"/>
      <c r="J14" s="19"/>
      <c r="K14" s="14" t="s">
        <v>37</v>
      </c>
      <c r="L14" s="20" t="s">
        <v>38</v>
      </c>
      <c r="M14" s="20" t="s">
        <v>35</v>
      </c>
      <c r="N14" s="20" t="s">
        <v>35</v>
      </c>
      <c r="O14" s="20" t="s">
        <v>65</v>
      </c>
      <c r="P14" s="17">
        <f>CONCATENATE("call abaqus python ",O14," ",L14)</f>
      </c>
      <c r="Q14" s="1"/>
      <c r="R14" s="1"/>
      <c r="S14" s="1"/>
      <c r="T14" s="1"/>
      <c r="U14" s="1"/>
    </row>
    <row x14ac:dyDescent="0.25" r="15" customHeight="1" ht="18.75">
      <c r="A15" s="18">
        <v>13</v>
      </c>
      <c r="B15" s="1"/>
      <c r="C15" s="19"/>
      <c r="D15" s="18"/>
      <c r="E15" s="1"/>
      <c r="F15" s="18"/>
      <c r="G15" s="18"/>
      <c r="H15" s="1"/>
      <c r="I15" s="18"/>
      <c r="J15" s="19"/>
      <c r="K15" s="14" t="s">
        <v>37</v>
      </c>
      <c r="L15" s="20" t="s">
        <v>66</v>
      </c>
      <c r="M15" s="20" t="s">
        <v>35</v>
      </c>
      <c r="N15" s="20" t="s">
        <v>35</v>
      </c>
      <c r="O15" s="20" t="s">
        <v>65</v>
      </c>
      <c r="P15" s="17">
        <f>CONCATENATE("call abaqus python ",O15," ",L15)</f>
      </c>
      <c r="Q15" s="1"/>
      <c r="R15" s="1"/>
      <c r="S15" s="1"/>
      <c r="T15" s="1"/>
      <c r="U15" s="1"/>
    </row>
    <row x14ac:dyDescent="0.25" r="16" customHeight="1" ht="18.75">
      <c r="A16" s="18">
        <v>14</v>
      </c>
      <c r="B16" s="1"/>
      <c r="C16" s="19"/>
      <c r="D16" s="18"/>
      <c r="E16" s="1"/>
      <c r="F16" s="18"/>
      <c r="G16" s="18"/>
      <c r="H16" s="1"/>
      <c r="I16" s="18"/>
      <c r="J16" s="19"/>
      <c r="K16" s="14" t="s">
        <v>37</v>
      </c>
      <c r="L16" s="20" t="s">
        <v>3</v>
      </c>
      <c r="M16" s="20" t="s">
        <v>38</v>
      </c>
      <c r="N16" s="20" t="s">
        <v>35</v>
      </c>
      <c r="O16" s="20" t="s">
        <v>39</v>
      </c>
      <c r="P16" s="17">
        <f>CONCATENATE("call abaqus python ",O16," ",L16)</f>
      </c>
      <c r="Q16" s="1"/>
      <c r="R16" s="1"/>
      <c r="S16" s="1"/>
      <c r="T16" s="1"/>
      <c r="U16" s="1"/>
    </row>
    <row x14ac:dyDescent="0.25" r="17" customHeight="1" ht="18.75">
      <c r="A17" s="18">
        <v>15</v>
      </c>
      <c r="B17" s="1"/>
      <c r="C17" s="19"/>
      <c r="D17" s="18"/>
      <c r="E17" s="1"/>
      <c r="F17" s="18"/>
      <c r="G17" s="18"/>
      <c r="H17" s="1"/>
      <c r="I17" s="18"/>
      <c r="J17" s="19"/>
      <c r="K17" s="14" t="s">
        <v>37</v>
      </c>
      <c r="L17" s="20" t="s">
        <v>6</v>
      </c>
      <c r="M17" s="20" t="s">
        <v>38</v>
      </c>
      <c r="N17" s="20" t="s">
        <v>35</v>
      </c>
      <c r="O17" s="20" t="s">
        <v>39</v>
      </c>
      <c r="P17" s="17">
        <f>CONCATENATE("call abaqus python ",O17," ",L17)</f>
      </c>
      <c r="Q17" s="1"/>
      <c r="R17" s="1"/>
      <c r="S17" s="1"/>
      <c r="T17" s="1"/>
      <c r="U17" s="1"/>
    </row>
    <row x14ac:dyDescent="0.25" r="18" customHeight="1" ht="18.75">
      <c r="A18" s="18">
        <v>16</v>
      </c>
      <c r="B18" s="1"/>
      <c r="C18" s="19"/>
      <c r="D18" s="18"/>
      <c r="E18" s="1"/>
      <c r="F18" s="18"/>
      <c r="G18" s="18"/>
      <c r="H18" s="1"/>
      <c r="I18" s="18"/>
      <c r="J18" s="19"/>
      <c r="K18" s="14" t="s">
        <v>37</v>
      </c>
      <c r="L18" s="20" t="s">
        <v>8</v>
      </c>
      <c r="M18" s="20" t="s">
        <v>38</v>
      </c>
      <c r="N18" s="20" t="s">
        <v>35</v>
      </c>
      <c r="O18" s="20" t="s">
        <v>39</v>
      </c>
      <c r="P18" s="17">
        <f>CONCATENATE("call abaqus python ",O18," ",L18)</f>
      </c>
      <c r="Q18" s="1"/>
      <c r="R18" s="1"/>
      <c r="S18" s="1"/>
      <c r="T18" s="1"/>
      <c r="U18" s="1"/>
    </row>
    <row x14ac:dyDescent="0.25" r="19" customHeight="1" ht="18.75">
      <c r="A19" s="18">
        <v>17</v>
      </c>
      <c r="B19" s="1"/>
      <c r="C19" s="19"/>
      <c r="D19" s="18"/>
      <c r="E19" s="1"/>
      <c r="F19" s="18"/>
      <c r="G19" s="18"/>
      <c r="H19" s="1"/>
      <c r="I19" s="18"/>
      <c r="J19" s="19"/>
      <c r="K19" s="14" t="s">
        <v>37</v>
      </c>
      <c r="L19" s="20" t="s">
        <v>10</v>
      </c>
      <c r="M19" s="20" t="s">
        <v>38</v>
      </c>
      <c r="N19" s="20" t="s">
        <v>35</v>
      </c>
      <c r="O19" s="20" t="s">
        <v>39</v>
      </c>
      <c r="P19" s="17">
        <f>CONCATENATE("call abaqus python ",O19," ",L19)</f>
      </c>
      <c r="Q19" s="1"/>
      <c r="R19" s="1"/>
      <c r="S19" s="1"/>
      <c r="T19" s="1"/>
      <c r="U19" s="1"/>
    </row>
    <row x14ac:dyDescent="0.25" r="20" customHeight="1" ht="18.75">
      <c r="A20" s="18">
        <v>18</v>
      </c>
      <c r="B20" s="1"/>
      <c r="C20" s="19"/>
      <c r="D20" s="18"/>
      <c r="E20" s="1"/>
      <c r="F20" s="18"/>
      <c r="G20" s="18"/>
      <c r="H20" s="1"/>
      <c r="I20" s="18"/>
      <c r="J20" s="19"/>
      <c r="K20" s="14" t="s">
        <v>67</v>
      </c>
      <c r="L20" s="16" t="s">
        <v>46</v>
      </c>
      <c r="M20" s="20" t="s">
        <v>68</v>
      </c>
      <c r="N20" s="20" t="s">
        <v>69</v>
      </c>
      <c r="O20" s="20" t="s">
        <v>35</v>
      </c>
      <c r="P20" s="17">
        <f>CONCATENATE("call abaqus python ",O20," ",L20)</f>
      </c>
      <c r="Q20" s="1"/>
      <c r="R20" s="1"/>
      <c r="S20" s="1"/>
      <c r="T20" s="1"/>
      <c r="U20" s="1"/>
    </row>
    <row x14ac:dyDescent="0.25" r="21" customHeight="1" ht="18.75">
      <c r="A21" s="18">
        <v>19</v>
      </c>
      <c r="B21" s="1"/>
      <c r="C21" s="19"/>
      <c r="D21" s="18"/>
      <c r="E21" s="1"/>
      <c r="F21" s="18"/>
      <c r="G21" s="18"/>
      <c r="H21" s="1"/>
      <c r="I21" s="18"/>
      <c r="J21" s="19"/>
      <c r="K21" s="14" t="s">
        <v>67</v>
      </c>
      <c r="L21" s="16" t="s">
        <v>59</v>
      </c>
      <c r="M21" s="20" t="s">
        <v>70</v>
      </c>
      <c r="N21" s="20" t="s">
        <v>71</v>
      </c>
      <c r="O21" s="20" t="s">
        <v>72</v>
      </c>
      <c r="P21" s="17">
        <f>CONCATENATE("call abaqus python ",O21," ",L21)</f>
      </c>
      <c r="Q21" s="1"/>
      <c r="R21" s="1"/>
      <c r="S21" s="1"/>
      <c r="T21" s="1"/>
      <c r="U21" s="1"/>
    </row>
    <row x14ac:dyDescent="0.25" r="22" customHeight="1" ht="18.75">
      <c r="A22" s="18">
        <v>20</v>
      </c>
      <c r="B22" s="1"/>
      <c r="C22" s="19"/>
      <c r="D22" s="18"/>
      <c r="E22" s="1"/>
      <c r="F22" s="18"/>
      <c r="G22" s="18"/>
      <c r="H22" s="1"/>
      <c r="I22" s="18"/>
      <c r="J22" s="19"/>
      <c r="K22" s="14" t="s">
        <v>67</v>
      </c>
      <c r="L22" s="16" t="s">
        <v>61</v>
      </c>
      <c r="M22" s="20" t="s">
        <v>70</v>
      </c>
      <c r="N22" s="20" t="s">
        <v>73</v>
      </c>
      <c r="O22" s="20" t="s">
        <v>72</v>
      </c>
      <c r="P22" s="17">
        <f>CONCATENATE("call abaqus python ",O22," ",L22)</f>
      </c>
      <c r="Q22" s="1"/>
      <c r="R22" s="1"/>
      <c r="S22" s="1"/>
      <c r="T22" s="1"/>
      <c r="U22" s="1"/>
    </row>
    <row x14ac:dyDescent="0.25" r="23" customHeight="1" ht="18.75">
      <c r="A23" s="18">
        <v>21</v>
      </c>
      <c r="B23" s="1"/>
      <c r="C23" s="19"/>
      <c r="D23" s="18"/>
      <c r="E23" s="1"/>
      <c r="F23" s="18"/>
      <c r="G23" s="18"/>
      <c r="H23" s="1"/>
      <c r="I23" s="18"/>
      <c r="J23" s="19"/>
      <c r="K23" s="14" t="s">
        <v>67</v>
      </c>
      <c r="L23" s="16" t="s">
        <v>63</v>
      </c>
      <c r="M23" s="20" t="s">
        <v>70</v>
      </c>
      <c r="N23" s="20" t="s">
        <v>74</v>
      </c>
      <c r="O23" s="20" t="s">
        <v>72</v>
      </c>
      <c r="P23" s="17">
        <f>CONCATENATE("call abaqus python ",O23," ",L23)</f>
      </c>
      <c r="Q23" s="1"/>
      <c r="R23" s="1"/>
      <c r="S23" s="1"/>
      <c r="T23" s="1"/>
      <c r="U23" s="1"/>
    </row>
    <row x14ac:dyDescent="0.25" r="24" customHeight="1" ht="18.75">
      <c r="A24" s="18">
        <v>22</v>
      </c>
      <c r="B24" s="1"/>
      <c r="C24" s="19"/>
      <c r="D24" s="18"/>
      <c r="E24" s="1"/>
      <c r="F24" s="18"/>
      <c r="G24" s="18"/>
      <c r="H24" s="1"/>
      <c r="I24" s="18"/>
      <c r="J24" s="19"/>
      <c r="K24" s="14" t="s">
        <v>37</v>
      </c>
      <c r="L24" s="20" t="s">
        <v>70</v>
      </c>
      <c r="M24" s="20" t="s">
        <v>75</v>
      </c>
      <c r="N24" s="20" t="s">
        <v>35</v>
      </c>
      <c r="O24" s="20" t="s">
        <v>39</v>
      </c>
      <c r="P24" s="17">
        <f>CONCATENATE("call abaqus python ",O24," ",L24)</f>
      </c>
      <c r="Q24" s="1"/>
      <c r="R24" s="1"/>
      <c r="S24" s="1"/>
      <c r="T24" s="1"/>
      <c r="U24" s="1"/>
    </row>
    <row x14ac:dyDescent="0.25" r="25" customHeight="1" ht="18.75">
      <c r="A25" s="18">
        <v>23</v>
      </c>
      <c r="B25" s="1"/>
      <c r="C25" s="19"/>
      <c r="D25" s="18"/>
      <c r="E25" s="1"/>
      <c r="F25" s="18"/>
      <c r="G25" s="18"/>
      <c r="H25" s="1"/>
      <c r="I25" s="18"/>
      <c r="J25" s="19"/>
      <c r="K25" s="14" t="s">
        <v>37</v>
      </c>
      <c r="L25" s="20" t="s">
        <v>70</v>
      </c>
      <c r="M25" s="20" t="s">
        <v>75</v>
      </c>
      <c r="N25" s="20" t="s">
        <v>35</v>
      </c>
      <c r="O25" s="20" t="s">
        <v>39</v>
      </c>
      <c r="P25" s="17">
        <f>CONCATENATE("call abaqus python ",O25," ",L25)</f>
      </c>
      <c r="Q25" s="1"/>
      <c r="R25" s="1"/>
      <c r="S25" s="1"/>
      <c r="T25" s="1"/>
      <c r="U25" s="1"/>
    </row>
    <row x14ac:dyDescent="0.25" r="26" customHeight="1" ht="18.75">
      <c r="A26" s="18">
        <v>24</v>
      </c>
      <c r="B26" s="1"/>
      <c r="C26" s="19"/>
      <c r="D26" s="18"/>
      <c r="E26" s="1"/>
      <c r="F26" s="18"/>
      <c r="G26" s="18"/>
      <c r="H26" s="1"/>
      <c r="I26" s="18"/>
      <c r="J26" s="19"/>
      <c r="K26" s="14" t="s">
        <v>37</v>
      </c>
      <c r="L26" s="20" t="s">
        <v>70</v>
      </c>
      <c r="M26" s="20" t="s">
        <v>75</v>
      </c>
      <c r="N26" s="20" t="s">
        <v>35</v>
      </c>
      <c r="O26" s="20" t="s">
        <v>39</v>
      </c>
      <c r="P26" s="17">
        <f>CONCATENATE("call abaqus python ",O26," ",L26)</f>
      </c>
      <c r="Q26" s="1"/>
      <c r="R26" s="1"/>
      <c r="S26" s="1"/>
      <c r="T26" s="1"/>
      <c r="U26" s="1"/>
    </row>
    <row x14ac:dyDescent="0.25" r="27" customHeight="1" ht="18.75">
      <c r="A27" s="18">
        <v>25</v>
      </c>
      <c r="B27" s="1"/>
      <c r="C27" s="19"/>
      <c r="D27" s="18"/>
      <c r="E27" s="1"/>
      <c r="F27" s="18"/>
      <c r="G27" s="18"/>
      <c r="H27" s="1"/>
      <c r="I27" s="18"/>
      <c r="J27" s="19"/>
      <c r="K27" s="14" t="s">
        <v>37</v>
      </c>
      <c r="L27" s="20" t="s">
        <v>75</v>
      </c>
      <c r="M27" s="20" t="s">
        <v>35</v>
      </c>
      <c r="N27" s="20" t="s">
        <v>35</v>
      </c>
      <c r="O27" s="20" t="s">
        <v>65</v>
      </c>
      <c r="P27" s="17">
        <f>CONCATENATE("call abaqus python ",O27," ",L27)</f>
      </c>
      <c r="Q27" s="1"/>
      <c r="R27" s="1"/>
      <c r="S27" s="1"/>
      <c r="T27" s="1"/>
      <c r="U27" s="1"/>
    </row>
    <row x14ac:dyDescent="0.25" r="28" customHeight="1" ht="18.75">
      <c r="A28" s="18"/>
      <c r="B28" s="1"/>
      <c r="C28" s="19"/>
      <c r="D28" s="18"/>
      <c r="E28" s="1"/>
      <c r="F28" s="18"/>
      <c r="G28" s="18"/>
      <c r="H28" s="1"/>
      <c r="I28" s="18"/>
      <c r="J28" s="19"/>
      <c r="K28" s="19"/>
      <c r="L28" s="20"/>
      <c r="M28" s="20"/>
      <c r="N28" s="20"/>
      <c r="O28" s="20"/>
      <c r="P28" s="1"/>
      <c r="Q28" s="1"/>
      <c r="R28" s="1"/>
      <c r="S28" s="1"/>
      <c r="T28" s="1"/>
      <c r="U28" s="1"/>
    </row>
    <row x14ac:dyDescent="0.25" r="29" customHeight="1" ht="18.75">
      <c r="A29" s="18"/>
      <c r="B29" s="1"/>
      <c r="C29" s="19"/>
      <c r="D29" s="18"/>
      <c r="E29" s="1"/>
      <c r="F29" s="18"/>
      <c r="G29" s="18"/>
      <c r="H29" s="1"/>
      <c r="I29" s="18"/>
      <c r="J29" s="19"/>
      <c r="K29" s="19"/>
      <c r="L29" s="20"/>
      <c r="M29" s="20"/>
      <c r="N29" s="20"/>
      <c r="O29" s="20"/>
      <c r="P29" s="1"/>
      <c r="Q29" s="1"/>
      <c r="R29" s="1"/>
      <c r="S29" s="1"/>
      <c r="T29" s="1"/>
      <c r="U29" s="1"/>
    </row>
    <row x14ac:dyDescent="0.25" r="30" customHeight="1" ht="18.75">
      <c r="A30" s="18"/>
      <c r="B30" s="1"/>
      <c r="C30" s="19"/>
      <c r="D30" s="18"/>
      <c r="E30" s="1"/>
      <c r="F30" s="18"/>
      <c r="G30" s="18"/>
      <c r="H30" s="1"/>
      <c r="I30" s="18"/>
      <c r="J30" s="19"/>
      <c r="K30" s="19"/>
      <c r="L30" s="20"/>
      <c r="M30" s="20"/>
      <c r="N30" s="20"/>
      <c r="O30" s="20"/>
      <c r="P30" s="1"/>
      <c r="Q30" s="1"/>
      <c r="R30" s="1"/>
      <c r="S30" s="1"/>
      <c r="T30" s="1"/>
      <c r="U30" s="1"/>
    </row>
    <row x14ac:dyDescent="0.25" r="31" customHeight="1" ht="18.75">
      <c r="A31" s="18"/>
      <c r="B31" s="1"/>
      <c r="C31" s="19"/>
      <c r="D31" s="18"/>
      <c r="E31" s="1"/>
      <c r="F31" s="18"/>
      <c r="G31" s="18"/>
      <c r="H31" s="1"/>
      <c r="I31" s="18"/>
      <c r="J31" s="19"/>
      <c r="K31" s="19"/>
      <c r="L31" s="20"/>
      <c r="M31" s="20"/>
      <c r="N31" s="20"/>
      <c r="O31" s="20"/>
      <c r="P31" s="1"/>
      <c r="Q31" s="1"/>
      <c r="R31" s="1"/>
      <c r="S31" s="1"/>
      <c r="T31" s="1"/>
      <c r="U31" s="1"/>
    </row>
    <row x14ac:dyDescent="0.25" r="32" customHeight="1" ht="18.75">
      <c r="A32" s="18"/>
      <c r="B32" s="1"/>
      <c r="C32" s="19"/>
      <c r="D32" s="18"/>
      <c r="E32" s="1"/>
      <c r="F32" s="18"/>
      <c r="G32" s="18"/>
      <c r="H32" s="1"/>
      <c r="I32" s="18"/>
      <c r="J32" s="19"/>
      <c r="K32" s="19"/>
      <c r="L32" s="20"/>
      <c r="M32" s="20"/>
      <c r="N32" s="20"/>
      <c r="O32" s="20"/>
      <c r="P32" s="1"/>
      <c r="Q32" s="1"/>
      <c r="R32" s="1"/>
      <c r="S32" s="1"/>
      <c r="T32" s="1"/>
      <c r="U32" s="1"/>
    </row>
    <row x14ac:dyDescent="0.25" r="33" customHeight="1" ht="18.75">
      <c r="A33" s="18"/>
      <c r="B33" s="1"/>
      <c r="C33" s="19"/>
      <c r="D33" s="18"/>
      <c r="E33" s="1"/>
      <c r="F33" s="18"/>
      <c r="G33" s="18"/>
      <c r="H33" s="1"/>
      <c r="I33" s="18"/>
      <c r="J33" s="19"/>
      <c r="K33" s="19"/>
      <c r="L33" s="20"/>
      <c r="M33" s="20"/>
      <c r="N33" s="20"/>
      <c r="O33" s="20"/>
      <c r="P33" s="1"/>
      <c r="Q33" s="1"/>
      <c r="R33" s="1"/>
      <c r="S33" s="1"/>
      <c r="T33" s="1"/>
      <c r="U33" s="1"/>
    </row>
    <row x14ac:dyDescent="0.25" r="34" customHeight="1" ht="18.75">
      <c r="A34" s="18"/>
      <c r="B34" s="1"/>
      <c r="C34" s="19"/>
      <c r="D34" s="18"/>
      <c r="E34" s="1"/>
      <c r="F34" s="18"/>
      <c r="G34" s="18"/>
      <c r="H34" s="1"/>
      <c r="I34" s="18"/>
      <c r="J34" s="19"/>
      <c r="K34" s="19"/>
      <c r="L34" s="20"/>
      <c r="M34" s="20"/>
      <c r="N34" s="20"/>
      <c r="O34" s="20"/>
      <c r="P34" s="1"/>
      <c r="Q34" s="1"/>
      <c r="R34" s="1"/>
      <c r="S34" s="1"/>
      <c r="T34" s="1"/>
      <c r="U34" s="1"/>
    </row>
    <row x14ac:dyDescent="0.25" r="35" customHeight="1" ht="18.75">
      <c r="A35" s="18"/>
      <c r="B35" s="1"/>
      <c r="C35" s="19"/>
      <c r="D35" s="18"/>
      <c r="E35" s="1"/>
      <c r="F35" s="18"/>
      <c r="G35" s="18"/>
      <c r="H35" s="1"/>
      <c r="I35" s="18"/>
      <c r="J35" s="19"/>
      <c r="K35" s="19"/>
      <c r="L35" s="20"/>
      <c r="M35" s="20"/>
      <c r="N35" s="20"/>
      <c r="O35" s="20"/>
      <c r="P35" s="1"/>
      <c r="Q35" s="1"/>
      <c r="R35" s="1"/>
      <c r="S35" s="1"/>
      <c r="T35" s="1"/>
      <c r="U35" s="1"/>
    </row>
    <row x14ac:dyDescent="0.25" r="36" customHeight="1" ht="18.75">
      <c r="A36" s="18"/>
      <c r="B36" s="1"/>
      <c r="C36" s="19"/>
      <c r="D36" s="18"/>
      <c r="E36" s="1"/>
      <c r="F36" s="18"/>
      <c r="G36" s="18"/>
      <c r="H36" s="1"/>
      <c r="I36" s="18"/>
      <c r="J36" s="19"/>
      <c r="K36" s="19"/>
      <c r="L36" s="20"/>
      <c r="M36" s="20"/>
      <c r="N36" s="20"/>
      <c r="O36" s="20"/>
      <c r="P36" s="1"/>
      <c r="Q36" s="1"/>
      <c r="R36" s="1"/>
      <c r="S36" s="1"/>
      <c r="T36" s="1"/>
      <c r="U36" s="1"/>
    </row>
    <row x14ac:dyDescent="0.25" r="37" customHeight="1" ht="18.75">
      <c r="A37" s="18"/>
      <c r="B37" s="1"/>
      <c r="C37" s="19"/>
      <c r="D37" s="18"/>
      <c r="E37" s="1"/>
      <c r="F37" s="18"/>
      <c r="G37" s="18"/>
      <c r="H37" s="1"/>
      <c r="I37" s="18"/>
      <c r="J37" s="19"/>
      <c r="K37" s="19"/>
      <c r="L37" s="20"/>
      <c r="M37" s="20"/>
      <c r="N37" s="20"/>
      <c r="O37" s="20"/>
      <c r="P37" s="1"/>
      <c r="Q37" s="1"/>
      <c r="R37" s="1"/>
      <c r="S37" s="1"/>
      <c r="T37" s="1"/>
      <c r="U37" s="1"/>
    </row>
    <row x14ac:dyDescent="0.25" r="38" customHeight="1" ht="18.75">
      <c r="A38" s="18"/>
      <c r="B38" s="1"/>
      <c r="C38" s="19"/>
      <c r="D38" s="18"/>
      <c r="E38" s="1"/>
      <c r="F38" s="18"/>
      <c r="G38" s="18"/>
      <c r="H38" s="1"/>
      <c r="I38" s="18"/>
      <c r="J38" s="19"/>
      <c r="K38" s="19"/>
      <c r="L38" s="20"/>
      <c r="M38" s="20"/>
      <c r="N38" s="20"/>
      <c r="O38" s="20"/>
      <c r="P38" s="1"/>
      <c r="Q38" s="1"/>
      <c r="R38" s="1"/>
      <c r="S38" s="1"/>
      <c r="T38" s="1"/>
      <c r="U38" s="1"/>
    </row>
    <row x14ac:dyDescent="0.25" r="39" customHeight="1" ht="18.75">
      <c r="A39" s="18"/>
      <c r="B39" s="1"/>
      <c r="C39" s="19"/>
      <c r="D39" s="18"/>
      <c r="E39" s="1"/>
      <c r="F39" s="18"/>
      <c r="G39" s="18"/>
      <c r="H39" s="1"/>
      <c r="I39" s="18"/>
      <c r="J39" s="19"/>
      <c r="K39" s="19"/>
      <c r="L39" s="20"/>
      <c r="M39" s="20"/>
      <c r="N39" s="20"/>
      <c r="O39" s="20"/>
      <c r="P39" s="1"/>
      <c r="Q39" s="1"/>
      <c r="R39" s="1"/>
      <c r="S39" s="1"/>
      <c r="T39" s="1"/>
      <c r="U39" s="1"/>
    </row>
    <row x14ac:dyDescent="0.25" r="40" customHeight="1" ht="19.5">
      <c r="A40" s="18"/>
      <c r="B40" s="1"/>
      <c r="C40" s="19"/>
      <c r="D40" s="18"/>
      <c r="E40" s="1"/>
      <c r="F40" s="18"/>
      <c r="G40" s="18"/>
      <c r="H40" s="1"/>
      <c r="I40" s="18"/>
      <c r="J40" s="19"/>
      <c r="K40" s="19"/>
      <c r="L40" s="20"/>
      <c r="M40" s="20"/>
      <c r="N40" s="20"/>
      <c r="O40" s="20"/>
      <c r="P40" s="1"/>
      <c r="Q40" s="1"/>
      <c r="R40" s="1"/>
      <c r="S40" s="1"/>
      <c r="T40" s="1"/>
      <c r="U40" s="1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6"/>
  <sheetViews>
    <sheetView workbookViewId="0"/>
  </sheetViews>
  <sheetFormatPr defaultRowHeight="15" x14ac:dyDescent="0.25"/>
  <cols>
    <col min="1" max="1" style="2" width="14.719285714285713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  <row x14ac:dyDescent="0.25" r="5" customHeight="1" ht="18.75">
      <c r="A5" s="1" t="s">
        <v>3</v>
      </c>
    </row>
    <row x14ac:dyDescent="0.25" r="6" customHeight="1" ht="18.75">
      <c r="A6" s="1" t="s">
        <v>4</v>
      </c>
    </row>
    <row x14ac:dyDescent="0.25" r="7" customHeight="1" ht="18.75">
      <c r="A7" s="1" t="s">
        <v>5</v>
      </c>
    </row>
    <row x14ac:dyDescent="0.25" r="8" customHeight="1" ht="18.75">
      <c r="A8" s="1" t="s">
        <v>6</v>
      </c>
    </row>
    <row x14ac:dyDescent="0.25" r="9" customHeight="1" ht="18.75">
      <c r="A9" s="1" t="s">
        <v>7</v>
      </c>
    </row>
    <row x14ac:dyDescent="0.25" r="10" customHeight="1" ht="18.75">
      <c r="A10" s="1" t="s">
        <v>8</v>
      </c>
    </row>
    <row x14ac:dyDescent="0.25" r="11" customHeight="1" ht="18.75">
      <c r="A11" s="1" t="s">
        <v>9</v>
      </c>
    </row>
    <row x14ac:dyDescent="0.25" r="12" customHeight="1" ht="18.75">
      <c r="A12" s="1" t="s">
        <v>10</v>
      </c>
    </row>
    <row x14ac:dyDescent="0.25" r="13" customHeight="1" ht="18.75">
      <c r="A13" s="1" t="s">
        <v>11</v>
      </c>
    </row>
    <row x14ac:dyDescent="0.25" r="14" customHeight="1" ht="18.75">
      <c r="A14" s="1" t="s">
        <v>12</v>
      </c>
    </row>
    <row x14ac:dyDescent="0.25" r="15" customHeight="1" ht="18.75">
      <c r="A15" s="1" t="s">
        <v>13</v>
      </c>
    </row>
    <row x14ac:dyDescent="0.25" r="16" customHeight="1" ht="18.75">
      <c r="A16" s="1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CDTire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2026-05-13T11:43:07.131Z</dcterms:created>
  <dcterms:modified xsi:type="dcterms:W3CDTF">2026-05-13T11:43:07.131Z</dcterms:modified>
</cp:coreProperties>
</file>